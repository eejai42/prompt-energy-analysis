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_Schema" sheetId="2" state="visible" r:id="rId2"/>
    <sheet xmlns:r="http://schemas.openxmlformats.org/officeDocument/2006/relationships" name="D_Units" sheetId="3" state="visible" r:id="rId3"/>
    <sheet xmlns:r="http://schemas.openxmlformats.org/officeDocument/2006/relationships" name="D_Constants" sheetId="4" state="visible" r:id="rId4"/>
    <sheet xmlns:r="http://schemas.openxmlformats.org/officeDocument/2006/relationships" name="F_Calculations" sheetId="5" state="visible" r:id="rId5"/>
    <sheet xmlns:r="http://schemas.openxmlformats.org/officeDocument/2006/relationships" name="D_Instances" sheetId="6" state="visible" r:id="rId6"/>
    <sheet xmlns:r="http://schemas.openxmlformats.org/officeDocument/2006/relationships" name="D_Claims" sheetId="7" state="visible" r:id="rId7"/>
    <sheet xmlns:r="http://schemas.openxmlformats.org/officeDocument/2006/relationships" name="D_Questions" sheetId="8" state="visible" r:id="rId8"/>
    <sheet xmlns:r="http://schemas.openxmlformats.org/officeDocument/2006/relationships" name="A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E+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CMCC</author>
  </authors>
  <commentList>
    <comment ref="D2" authorId="0" shapeId="0">
      <text>
        <t>Input cell. Source: https://physics.nist.gov/cgi-bin/cuu/Value?me=</t>
      </text>
    </comment>
    <comment ref="D3" authorId="0" shapeId="0">
      <text>
        <t>Input cell. Source: https://www.bipm.org/en/measurement-units</t>
      </text>
    </comment>
    <comment ref="D4" authorId="0" shapeId="0">
      <text>
        <t>Input cell. Source: https://www.bipm.org/en/measurement-units</t>
      </text>
    </comment>
    <comment ref="D5" authorId="0" shapeId="0">
      <text>
        <t>Input cell. Source: https://physics.nist.gov/cgi-bin/cuu/Value?mec2%7Csearch_for=electron+mass</t>
      </text>
    </comment>
    <comment ref="D6" authorId="0" shapeId="0">
      <text>
        <t>Input cell. Source: https://www.bipm.org/documents/20126/41483022/SI-Brochure-9-concise-EN.pdf</t>
      </text>
    </comment>
  </commentList>
</comments>
</file>

<file path=xl/tables/table1.xml><?xml version="1.0" encoding="utf-8"?>
<table xmlns="http://schemas.openxmlformats.org/spreadsheetml/2006/main" id="1" name="tblUnits" displayName="tblUnits" ref="A1:G9" headerRowCount="1">
  <autoFilter ref="A1:G9"/>
  <tableColumns count="7">
    <tableColumn id="1" name="UnitID"/>
    <tableColumn id="2" name="UnitName"/>
    <tableColumn id="3" name="QuantityKind"/>
    <tableColumn id="4" name="SI_UnitName"/>
    <tableColumn id="5" name="ToSI_Mult"/>
    <tableColumn id="6" name="ToSI_Offset"/>
    <tableColumn id="7" name="Notes_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Constants" displayName="tblConstants" ref="A1:K6" headerRowCount="1">
  <autoFilter ref="A1:K6"/>
  <tableColumns count="11">
    <tableColumn id="1" name="ConstantID"/>
    <tableColumn id="2" name="Name"/>
    <tableColumn id="3" name="Symbol"/>
    <tableColumn id="4" name="Value"/>
    <tableColumn id="5" name="UnitID"/>
    <tableColumn id="6" name="SourceLayer"/>
    <tableColumn id="7" name="Authority_URL"/>
    <tableColumn id="8" name="Unit_ToSI_Mult"/>
    <tableColumn id="9" name="Unit_ToSI_Offset"/>
    <tableColumn id="10" name="Value_SI"/>
    <tableColumn id="11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Calcs" displayName="tblCalcs" ref="A1:F4" headerRowCount="1">
  <autoFilter ref="A1:F4"/>
  <tableColumns count="6">
    <tableColumn id="1" name="CalcID"/>
    <tableColumn id="2" name="Name"/>
    <tableColumn id="3" name="Expression"/>
    <tableColumn id="4" name="Result_UnitID"/>
    <tableColumn id="5" name="Result_SI"/>
    <tableColumn id="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Instances" displayName="tblInstances" ref="A1:J7" headerRowCount="1">
  <autoFilter ref="A1:J7"/>
  <tableColumns count="10">
    <tableColumn id="1" name="InstanceID"/>
    <tableColumn id="2" name="Scenario"/>
    <tableColumn id="3" name="QuantityName"/>
    <tableColumn id="4" name="QuantityKind"/>
    <tableColumn id="5" name="Value"/>
    <tableColumn id="6" name="UnitID"/>
    <tableColumn id="7" name="Unit_ToSI_Mult"/>
    <tableColumn id="8" name="Unit_ToSI_Offset"/>
    <tableColumn id="9" name="Canonical_SI"/>
    <tableColumn id="10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Claims" displayName="tblClaims" ref="A1:N5" headerRowCount="1">
  <autoFilter ref="A1:N5"/>
  <tableColumns count="14">
    <tableColumn id="1" name="ClaimID"/>
    <tableColumn id="2" name="ClaimText"/>
    <tableColumn id="3" name="ClaimType"/>
    <tableColumn id="4" name="Criteria"/>
    <tableColumn id="5" name="InstanceID_1"/>
    <tableColumn id="6" name="InstanceID_2"/>
    <tableColumn id="7" name="InstanceID_3"/>
    <tableColumn id="8" name="ToleranceAbs_SI"/>
    <tableColumn id="9" name="SI_1"/>
    <tableColumn id="10" name="SI_2"/>
    <tableColumn id="11" name="SI_3"/>
    <tableColumn id="12" name="RangeAbs"/>
    <tableColumn id="13" name="Pass"/>
    <tableColumn id="14" name="TruthSource_Lay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Questions" displayName="tblQuestions" ref="A1:E7" headerRowCount="1">
  <autoFilter ref="A1:E7"/>
  <tableColumns count="5">
    <tableColumn id="1" name="QID"/>
    <tableColumn id="2" name="Question"/>
    <tableColumn id="3" name="Mapped_Claims"/>
    <tableColumn id="4" name="Answer"/>
    <tableColumn id="5" name="Expla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CMCC Truth Model (Constructed vs. Reality-Constrained Truth)</t>
        </is>
      </c>
    </row>
    <row r="3">
      <c r="A3" s="2" t="inlineStr">
        <is>
          <t>What this workbook is:</t>
        </is>
      </c>
    </row>
    <row r="4" ht="40" customHeight="1">
      <c r="A4" t="inlineStr">
        <is>
          <t>A small CMCC-style model built with the five primitives:
S = Schema (what columns exist)
D = Data (rows)
L = Lookups (references between tables)
A = Aggregations (roll-ups / checks)
F = Formulas (pure calculated fields)
It encodes your prompt as computable rules about: (a) constructed truths (definitions/conventions) and (b) reality-constrained invariants (unit-independent quantities).</t>
        </is>
      </c>
    </row>
    <row r="5" ht="40" customHeight="1"/>
    <row r="6" ht="40" customHeight="1">
      <c r="A6" s="2" t="inlineStr">
        <is>
          <t>How to play with it:</t>
        </is>
      </c>
    </row>
    <row r="7" ht="40" customHeight="1">
      <c r="A7" t="inlineStr">
        <is>
          <t>1) Go to D_Constants and change a value in a yellow cell (e.g., electron mass).
2) Derived calculations in F_Calculations and checks in D_Claims update.
3) D_Questions gives TRUE/FALSE answers to the prompt’s key questions.
Yellow cells = inputs. Everything else is computed.</t>
        </is>
      </c>
    </row>
    <row r="8" ht="40" customHeight="1"/>
    <row r="9" ht="40" customHeight="1">
      <c r="A9" s="2" t="inlineStr">
        <is>
          <t>Primary sources used for constants/conversions (also recorded as URLs in Notes/comments):</t>
        </is>
      </c>
    </row>
    <row r="10" ht="40" customHeight="1">
      <c r="A10" t="inlineStr">
        <is>
          <t>NIST CODATA constants: https://physics.nist.gov/constants</t>
        </is>
      </c>
    </row>
    <row r="11" ht="40" customHeight="1">
      <c r="A11" t="inlineStr">
        <is>
          <t>BIPM SI Brochure: https://www.bipm.org/en/publications/si-brochure</t>
        </is>
      </c>
    </row>
    <row r="12" ht="40" customHeight="1">
      <c r="A12" t="inlineStr">
        <is>
          <t>NIST unit converter (eV↔J): https://physics.nist.gov/cgi-bin/cuu/Convert?From=ev&amp;To=j</t>
        </is>
      </c>
    </row>
    <row r="13" ht="40" customHeight="1"/>
    <row r="14" ht="40" customHeight="1">
      <c r="A14" s="2" t="inlineStr">
        <is>
          <t>Tabs:</t>
        </is>
      </c>
    </row>
    <row r="15" ht="40" customHeight="1">
      <c r="A15" t="inlineStr">
        <is>
          <t>S_Schema (meta), D_Units, D_Constants, F_Calculations, D_Instances, D_Claims, D_Questions, A_Dashboard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70" customWidth="1" min="5" max="5"/>
  </cols>
  <sheetData>
    <row r="1" ht="22" customHeight="1">
      <c r="A1" s="3" t="inlineStr">
        <is>
          <t>Table</t>
        </is>
      </c>
      <c r="B1" s="3" t="inlineStr">
        <is>
          <t>Field</t>
        </is>
      </c>
      <c r="C1" s="3" t="inlineStr">
        <is>
          <t>Type</t>
        </is>
      </c>
      <c r="D1" s="3" t="inlineStr">
        <is>
          <t>Required?</t>
        </is>
      </c>
      <c r="E1" s="3" t="inlineStr">
        <is>
          <t>Description</t>
        </is>
      </c>
    </row>
    <row r="2" ht="18" customHeight="1">
      <c r="A2" s="4" t="inlineStr">
        <is>
          <t>D_Units</t>
        </is>
      </c>
      <c r="B2" s="4" t="inlineStr">
        <is>
          <t>UnitID</t>
        </is>
      </c>
      <c r="C2" s="4" t="inlineStr">
        <is>
          <t>Text</t>
        </is>
      </c>
      <c r="D2" s="4" t="inlineStr">
        <is>
          <t>Y</t>
        </is>
      </c>
      <c r="E2" s="4" t="inlineStr">
        <is>
          <t>Stable identifier (e.g., U_J, U_eV)</t>
        </is>
      </c>
    </row>
    <row r="3" ht="18" customHeight="1">
      <c r="A3" s="4" t="inlineStr">
        <is>
          <t>D_Units</t>
        </is>
      </c>
      <c r="B3" s="4" t="inlineStr">
        <is>
          <t>ToSI_Mult</t>
        </is>
      </c>
      <c r="C3" s="4" t="inlineStr">
        <is>
          <t>Number</t>
        </is>
      </c>
      <c r="D3" s="4" t="inlineStr">
        <is>
          <t>Y</t>
        </is>
      </c>
      <c r="E3" s="4" t="inlineStr">
        <is>
          <t>Multiply by this to convert to SI base unit</t>
        </is>
      </c>
    </row>
    <row r="4" ht="18" customHeight="1">
      <c r="A4" s="4" t="inlineStr">
        <is>
          <t>D_Units</t>
        </is>
      </c>
      <c r="B4" s="4" t="inlineStr">
        <is>
          <t>ToSI_Offset</t>
        </is>
      </c>
      <c r="C4" s="4" t="inlineStr">
        <is>
          <t>Number</t>
        </is>
      </c>
      <c r="D4" s="4" t="inlineStr">
        <is>
          <t>Y</t>
        </is>
      </c>
      <c r="E4" s="4" t="inlineStr">
        <is>
          <t>Add this to convert to SI base unit (temperature)</t>
        </is>
      </c>
    </row>
    <row r="5" ht="18" customHeight="1">
      <c r="A5" s="4" t="inlineStr">
        <is>
          <t>D_Constants</t>
        </is>
      </c>
      <c r="B5" s="4" t="inlineStr">
        <is>
          <t>ConstantID</t>
        </is>
      </c>
      <c r="C5" s="4" t="inlineStr">
        <is>
          <t>Text</t>
        </is>
      </c>
      <c r="D5" s="4" t="inlineStr">
        <is>
          <t>Y</t>
        </is>
      </c>
      <c r="E5" s="4" t="inlineStr">
        <is>
          <t>Stable identifier (e.g., C_me, C_c)</t>
        </is>
      </c>
    </row>
    <row r="6" ht="18" customHeight="1">
      <c r="A6" s="4" t="inlineStr">
        <is>
          <t>D_Constants</t>
        </is>
      </c>
      <c r="B6" s="4" t="inlineStr">
        <is>
          <t>Value</t>
        </is>
      </c>
      <c r="C6" s="4" t="inlineStr">
        <is>
          <t>Number</t>
        </is>
      </c>
      <c r="D6" s="4" t="inlineStr">
        <is>
          <t>Y</t>
        </is>
      </c>
      <c r="E6" s="4" t="inlineStr">
        <is>
          <t>Value in the given unit</t>
        </is>
      </c>
    </row>
    <row r="7" ht="18" customHeight="1">
      <c r="A7" s="4" t="inlineStr">
        <is>
          <t>D_Constants</t>
        </is>
      </c>
      <c r="B7" s="4" t="inlineStr">
        <is>
          <t>Value_SI</t>
        </is>
      </c>
      <c r="C7" s="4" t="inlineStr">
        <is>
          <t>Formula</t>
        </is>
      </c>
      <c r="D7" s="4" t="inlineStr">
        <is>
          <t>Y</t>
        </is>
      </c>
      <c r="E7" s="4" t="inlineStr">
        <is>
          <t>Value converted to SI using D_Units</t>
        </is>
      </c>
    </row>
    <row r="8" ht="18" customHeight="1">
      <c r="A8" s="4" t="inlineStr">
        <is>
          <t>F_Calculations</t>
        </is>
      </c>
      <c r="B8" s="4" t="inlineStr">
        <is>
          <t>CalcID</t>
        </is>
      </c>
      <c r="C8" s="4" t="inlineStr">
        <is>
          <t>Text</t>
        </is>
      </c>
      <c r="D8" s="4" t="inlineStr">
        <is>
          <t>Y</t>
        </is>
      </c>
      <c r="E8" s="4" t="inlineStr">
        <is>
          <t>Stable identifier for derived calculations</t>
        </is>
      </c>
    </row>
    <row r="9" ht="18" customHeight="1">
      <c r="A9" s="4" t="inlineStr">
        <is>
          <t>F_Calculations</t>
        </is>
      </c>
      <c r="B9" s="4" t="inlineStr">
        <is>
          <t>Result_SI</t>
        </is>
      </c>
      <c r="C9" s="4" t="inlineStr">
        <is>
          <t>Formula</t>
        </is>
      </c>
      <c r="D9" s="4" t="inlineStr">
        <is>
          <t>Y</t>
        </is>
      </c>
      <c r="E9" s="4" t="inlineStr">
        <is>
          <t>Derived value in SI</t>
        </is>
      </c>
    </row>
    <row r="10" ht="18" customHeight="1">
      <c r="A10" s="4" t="inlineStr">
        <is>
          <t>D_Instances</t>
        </is>
      </c>
      <c r="B10" s="4" t="inlineStr">
        <is>
          <t>InstanceID</t>
        </is>
      </c>
      <c r="C10" s="4" t="inlineStr">
        <is>
          <t>Text</t>
        </is>
      </c>
      <c r="D10" s="4" t="inlineStr">
        <is>
          <t>Y</t>
        </is>
      </c>
      <c r="E10" s="4" t="inlineStr">
        <is>
          <t>Scenario instance for a quantity</t>
        </is>
      </c>
    </row>
    <row r="11" ht="18" customHeight="1">
      <c r="A11" s="4" t="inlineStr">
        <is>
          <t>D_Instances</t>
        </is>
      </c>
      <c r="B11" s="4" t="inlineStr">
        <is>
          <t>Canonical_SI</t>
        </is>
      </c>
      <c r="C11" s="4" t="inlineStr">
        <is>
          <t>Formula</t>
        </is>
      </c>
      <c r="D11" s="4" t="inlineStr">
        <is>
          <t>Y</t>
        </is>
      </c>
      <c r="E11" s="4" t="inlineStr">
        <is>
          <t>Instance value converted to SI</t>
        </is>
      </c>
    </row>
    <row r="12" ht="18" customHeight="1">
      <c r="A12" s="4" t="inlineStr">
        <is>
          <t>D_Claims</t>
        </is>
      </c>
      <c r="B12" s="4" t="inlineStr">
        <is>
          <t>Pass</t>
        </is>
      </c>
      <c r="C12" s="4" t="inlineStr">
        <is>
          <t>Formula</t>
        </is>
      </c>
      <c r="D12" s="4" t="inlineStr">
        <is>
          <t>Y</t>
        </is>
      </c>
      <c r="E12" s="4" t="inlineStr">
        <is>
          <t>TRUE/FALSE whether the claim's criteria are met</t>
        </is>
      </c>
    </row>
    <row r="13" ht="18" customHeight="1">
      <c r="A13" s="4" t="inlineStr">
        <is>
          <t>D_Questions</t>
        </is>
      </c>
      <c r="B13" s="4" t="inlineStr">
        <is>
          <t>Answer</t>
        </is>
      </c>
      <c r="C13" s="4" t="inlineStr">
        <is>
          <t>Formula</t>
        </is>
      </c>
      <c r="D13" s="4" t="inlineStr">
        <is>
          <t>Y</t>
        </is>
      </c>
      <c r="E13" s="4" t="inlineStr">
        <is>
          <t>TRUE/FALSE answer derived from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4" customWidth="1" min="5" max="5"/>
    <col width="14" customWidth="1" min="6" max="6"/>
    <col width="55" customWidth="1" min="7" max="7"/>
  </cols>
  <sheetData>
    <row r="1" ht="22" customHeight="1">
      <c r="A1" s="3" t="inlineStr">
        <is>
          <t>UnitID</t>
        </is>
      </c>
      <c r="B1" s="3" t="inlineStr">
        <is>
          <t>UnitName</t>
        </is>
      </c>
      <c r="C1" s="3" t="inlineStr">
        <is>
          <t>QuantityKind</t>
        </is>
      </c>
      <c r="D1" s="3" t="inlineStr">
        <is>
          <t>SI_UnitName</t>
        </is>
      </c>
      <c r="E1" s="3" t="inlineStr">
        <is>
          <t>ToSI_Mult</t>
        </is>
      </c>
      <c r="F1" s="3" t="inlineStr">
        <is>
          <t>ToSI_Offset</t>
        </is>
      </c>
      <c r="G1" s="3" t="inlineStr">
        <is>
          <t>Notes_URL</t>
        </is>
      </c>
    </row>
    <row r="2" ht="18" customHeight="1">
      <c r="A2" s="4" t="inlineStr">
        <is>
          <t>U_J</t>
        </is>
      </c>
      <c r="B2" s="4" t="inlineStr">
        <is>
          <t>joule</t>
        </is>
      </c>
      <c r="C2" s="4" t="inlineStr">
        <is>
          <t>Energy</t>
        </is>
      </c>
      <c r="D2" s="4" t="inlineStr">
        <is>
          <t>J</t>
        </is>
      </c>
      <c r="E2" s="4" t="n">
        <v>1</v>
      </c>
      <c r="F2" s="4" t="n">
        <v>0</v>
      </c>
      <c r="G2" s="4" t="inlineStr">
        <is>
          <t>https://www.bipm.org/en/measurement-units</t>
        </is>
      </c>
    </row>
    <row r="3" ht="18" customHeight="1">
      <c r="A3" s="4" t="inlineStr">
        <is>
          <t>U_eV</t>
        </is>
      </c>
      <c r="B3" s="4" t="inlineStr">
        <is>
          <t>electronvolt</t>
        </is>
      </c>
      <c r="C3" s="4" t="inlineStr">
        <is>
          <t>Energy</t>
        </is>
      </c>
      <c r="D3" s="4" t="inlineStr">
        <is>
          <t>J</t>
        </is>
      </c>
      <c r="E3" s="4" t="n">
        <v>1.602176634e-19</v>
      </c>
      <c r="F3" s="4" t="n">
        <v>0</v>
      </c>
      <c r="G3" s="4" t="inlineStr">
        <is>
          <t>https://physics.nist.gov/cgi-bin/cuu/Value?evj=</t>
        </is>
      </c>
    </row>
    <row r="4" ht="18" customHeight="1">
      <c r="A4" s="4" t="inlineStr">
        <is>
          <t>U_ftlbf</t>
        </is>
      </c>
      <c r="B4" s="4" t="inlineStr">
        <is>
          <t>foot-pound force</t>
        </is>
      </c>
      <c r="C4" s="4" t="inlineStr">
        <is>
          <t>Energy</t>
        </is>
      </c>
      <c r="D4" s="4" t="inlineStr">
        <is>
          <t>J</t>
        </is>
      </c>
      <c r="E4" s="4" t="n">
        <v>1.3558179483314</v>
      </c>
      <c r="F4" s="4" t="n">
        <v>0</v>
      </c>
      <c r="G4" s="4" t="inlineStr">
        <is>
          <t>https://www.convertunits.com/from/ft-lbf/to/joule</t>
        </is>
      </c>
    </row>
    <row r="5" ht="18" customHeight="1">
      <c r="A5" s="4" t="inlineStr">
        <is>
          <t>U_K</t>
        </is>
      </c>
      <c r="B5" s="4" t="inlineStr">
        <is>
          <t>kelvin</t>
        </is>
      </c>
      <c r="C5" s="4" t="inlineStr">
        <is>
          <t>Temperature</t>
        </is>
      </c>
      <c r="D5" s="4" t="inlineStr">
        <is>
          <t>K</t>
        </is>
      </c>
      <c r="E5" s="4" t="n">
        <v>1</v>
      </c>
      <c r="F5" s="4" t="n">
        <v>0</v>
      </c>
      <c r="G5" s="4" t="inlineStr">
        <is>
          <t>https://www.bipm.org/documents/20126/41483022/SI-Brochure-9-concise-EN.pdf</t>
        </is>
      </c>
    </row>
    <row r="6" ht="18" customHeight="1">
      <c r="A6" s="4" t="inlineStr">
        <is>
          <t>U_C</t>
        </is>
      </c>
      <c r="B6" s="4" t="inlineStr">
        <is>
          <t>degree Celsius</t>
        </is>
      </c>
      <c r="C6" s="4" t="inlineStr">
        <is>
          <t>Temperature</t>
        </is>
      </c>
      <c r="D6" s="4" t="inlineStr">
        <is>
          <t>K</t>
        </is>
      </c>
      <c r="E6" s="4" t="n">
        <v>1</v>
      </c>
      <c r="F6" s="4" t="n">
        <v>273.15</v>
      </c>
      <c r="G6" s="4" t="inlineStr">
        <is>
          <t>https://www.bipm.org/documents/20126/41483022/SI-Brochure-9-concise-EN.pdf</t>
        </is>
      </c>
    </row>
    <row r="7" ht="18" customHeight="1">
      <c r="A7" s="4" t="inlineStr">
        <is>
          <t>U_kg</t>
        </is>
      </c>
      <c r="B7" s="4" t="inlineStr">
        <is>
          <t>kilogram</t>
        </is>
      </c>
      <c r="C7" s="4" t="inlineStr">
        <is>
          <t>Mass</t>
        </is>
      </c>
      <c r="D7" s="4" t="inlineStr">
        <is>
          <t>kg</t>
        </is>
      </c>
      <c r="E7" s="4" t="n">
        <v>1</v>
      </c>
      <c r="F7" s="4" t="n">
        <v>0</v>
      </c>
      <c r="G7" s="4" t="inlineStr">
        <is>
          <t>https://www.bipm.org/en/measurement-units</t>
        </is>
      </c>
    </row>
    <row r="8" ht="18" customHeight="1">
      <c r="A8" s="4" t="inlineStr">
        <is>
          <t>U_mps</t>
        </is>
      </c>
      <c r="B8" s="4" t="inlineStr">
        <is>
          <t>metre per second</t>
        </is>
      </c>
      <c r="C8" s="4" t="inlineStr">
        <is>
          <t>Speed</t>
        </is>
      </c>
      <c r="D8" s="4" t="inlineStr">
        <is>
          <t>m/s</t>
        </is>
      </c>
      <c r="E8" s="4" t="n">
        <v>1</v>
      </c>
      <c r="F8" s="4" t="n">
        <v>0</v>
      </c>
      <c r="G8" s="4" t="inlineStr">
        <is>
          <t>https://www.bipm.org/documents/20126/41483022/SI-Brochure-9-EN.pdf</t>
        </is>
      </c>
    </row>
    <row r="9" ht="18" customHeight="1">
      <c r="A9" s="4" t="inlineStr">
        <is>
          <t>U_Coul</t>
        </is>
      </c>
      <c r="B9" s="4" t="inlineStr">
        <is>
          <t>coulomb</t>
        </is>
      </c>
      <c r="C9" s="4" t="inlineStr">
        <is>
          <t>Charge</t>
        </is>
      </c>
      <c r="D9" s="4" t="inlineStr">
        <is>
          <t>C</t>
        </is>
      </c>
      <c r="E9" s="4" t="n">
        <v>1</v>
      </c>
      <c r="F9" s="4" t="n">
        <v>0</v>
      </c>
      <c r="G9" s="4" t="inlineStr">
        <is>
          <t>https://www.bipm.org/en/measurement-units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10" customWidth="1" min="5" max="5"/>
    <col width="22" customWidth="1" min="6" max="6"/>
    <col width="45" customWidth="1" min="7" max="7"/>
    <col width="14" customWidth="1" min="8" max="8"/>
    <col width="16" customWidth="1" min="9" max="9"/>
    <col width="16" customWidth="1" min="10" max="10"/>
    <col width="32" customWidth="1" min="11" max="11"/>
  </cols>
  <sheetData>
    <row r="1" ht="22" customHeight="1">
      <c r="A1" s="3" t="inlineStr">
        <is>
          <t>ConstantID</t>
        </is>
      </c>
      <c r="B1" s="3" t="inlineStr">
        <is>
          <t>Name</t>
        </is>
      </c>
      <c r="C1" s="3" t="inlineStr">
        <is>
          <t>Symbol</t>
        </is>
      </c>
      <c r="D1" s="3" t="inlineStr">
        <is>
          <t>Value</t>
        </is>
      </c>
      <c r="E1" s="3" t="inlineStr">
        <is>
          <t>UnitID</t>
        </is>
      </c>
      <c r="F1" s="3" t="inlineStr">
        <is>
          <t>SourceLayer</t>
        </is>
      </c>
      <c r="G1" s="3" t="inlineStr">
        <is>
          <t>Authority_URL</t>
        </is>
      </c>
      <c r="H1" s="3" t="inlineStr">
        <is>
          <t>Unit_ToSI_Mult</t>
        </is>
      </c>
      <c r="I1" s="3" t="inlineStr">
        <is>
          <t>Unit_ToSI_Offset</t>
        </is>
      </c>
      <c r="J1" s="3" t="inlineStr">
        <is>
          <t>Value_SI</t>
        </is>
      </c>
      <c r="K1" s="3" t="inlineStr">
        <is>
          <t>Notes</t>
        </is>
      </c>
    </row>
    <row r="2" ht="18" customHeight="1">
      <c r="A2" s="4" t="inlineStr">
        <is>
          <t>C_me</t>
        </is>
      </c>
      <c r="B2" s="4" t="inlineStr">
        <is>
          <t>electron mass</t>
        </is>
      </c>
      <c r="C2" s="4" t="inlineStr">
        <is>
          <t>m_e</t>
        </is>
      </c>
      <c r="D2" s="5" t="n">
        <v>9.1093837139e-31</v>
      </c>
      <c r="E2" s="4" t="inlineStr">
        <is>
          <t>U_kg</t>
        </is>
      </c>
      <c r="F2" s="4" t="inlineStr">
        <is>
          <t>Measured (CODATA)</t>
        </is>
      </c>
      <c r="G2" s="4" t="inlineStr">
        <is>
          <t>https://physics.nist.gov/cgi-bin/cuu/Value?me=</t>
        </is>
      </c>
      <c r="H2" s="4">
        <f>VLOOKUP(E2,D_Units!$A$2:$G$9,5,FALSE)</f>
        <v/>
      </c>
      <c r="I2" s="4">
        <f>VLOOKUP(E2,D_Units!$A$2:$G$9,6,FALSE)</f>
        <v/>
      </c>
      <c r="J2" s="6">
        <f>D2*H2+I2</f>
        <v/>
      </c>
      <c r="K2" s="4" t="inlineStr">
        <is>
          <t>From NIST CODATA</t>
        </is>
      </c>
    </row>
    <row r="3" ht="18" customHeight="1">
      <c r="A3" s="4" t="inlineStr">
        <is>
          <t>C_c</t>
        </is>
      </c>
      <c r="B3" s="4" t="inlineStr">
        <is>
          <t>speed of light in vacuum</t>
        </is>
      </c>
      <c r="C3" s="4" t="inlineStr">
        <is>
          <t>c</t>
        </is>
      </c>
      <c r="D3" s="5" t="n">
        <v>299792458</v>
      </c>
      <c r="E3" s="4" t="inlineStr">
        <is>
          <t>U_mps</t>
        </is>
      </c>
      <c r="F3" s="4" t="inlineStr">
        <is>
          <t>Defined (SI)</t>
        </is>
      </c>
      <c r="G3" s="4" t="inlineStr">
        <is>
          <t>https://www.bipm.org/en/measurement-units</t>
        </is>
      </c>
      <c r="H3" s="4">
        <f>VLOOKUP(E3,D_Units!$A$2:$G$9,5,FALSE)</f>
        <v/>
      </c>
      <c r="I3" s="4">
        <f>VLOOKUP(E3,D_Units!$A$2:$G$9,6,FALSE)</f>
        <v/>
      </c>
      <c r="J3" s="6">
        <f>D3*H3+I3</f>
        <v/>
      </c>
      <c r="K3" s="4" t="inlineStr">
        <is>
          <t>Exact by SI definition</t>
        </is>
      </c>
    </row>
    <row r="4" ht="18" customHeight="1">
      <c r="A4" s="4" t="inlineStr">
        <is>
          <t>C_e</t>
        </is>
      </c>
      <c r="B4" s="4" t="inlineStr">
        <is>
          <t>elementary charge</t>
        </is>
      </c>
      <c r="C4" s="4" t="inlineStr">
        <is>
          <t>e</t>
        </is>
      </c>
      <c r="D4" s="5" t="n">
        <v>1.602176634e-19</v>
      </c>
      <c r="E4" s="4" t="inlineStr">
        <is>
          <t>U_Coul</t>
        </is>
      </c>
      <c r="F4" s="4" t="inlineStr">
        <is>
          <t>Defined (SI)</t>
        </is>
      </c>
      <c r="G4" s="4" t="inlineStr">
        <is>
          <t>https://www.bipm.org/en/measurement-units</t>
        </is>
      </c>
      <c r="H4" s="4">
        <f>VLOOKUP(E4,D_Units!$A$2:$G$9,5,FALSE)</f>
        <v/>
      </c>
      <c r="I4" s="4">
        <f>VLOOKUP(E4,D_Units!$A$2:$G$9,6,FALSE)</f>
        <v/>
      </c>
      <c r="J4" s="6">
        <f>D4*H4+I4</f>
        <v/>
      </c>
      <c r="K4" s="4" t="inlineStr">
        <is>
          <t>Exact by SI definition</t>
        </is>
      </c>
    </row>
    <row r="5" ht="18" customHeight="1">
      <c r="A5" s="4" t="inlineStr">
        <is>
          <t>C_mec2</t>
        </is>
      </c>
      <c r="B5" s="4" t="inlineStr">
        <is>
          <t>electron mass energy equivalent</t>
        </is>
      </c>
      <c r="C5" s="4" t="inlineStr">
        <is>
          <t>m_e c^2</t>
        </is>
      </c>
      <c r="D5" s="5" t="n">
        <v>8.187105788e-14</v>
      </c>
      <c r="E5" s="4" t="inlineStr">
        <is>
          <t>U_J</t>
        </is>
      </c>
      <c r="F5" s="4" t="inlineStr">
        <is>
          <t>Measured/Adjusted (CODATA)</t>
        </is>
      </c>
      <c r="G5" s="4" t="inlineStr">
        <is>
          <t>https://physics.nist.gov/cgi-bin/cuu/Value?mec2%7Csearch_for=electron+mass</t>
        </is>
      </c>
      <c r="H5" s="4">
        <f>VLOOKUP(E5,D_Units!$A$2:$G$9,5,FALSE)</f>
        <v/>
      </c>
      <c r="I5" s="4">
        <f>VLOOKUP(E5,D_Units!$A$2:$G$9,6,FALSE)</f>
        <v/>
      </c>
      <c r="J5" s="6">
        <f>D5*H5+I5</f>
        <v/>
      </c>
      <c r="K5" s="4" t="inlineStr">
        <is>
          <t>Reference value to validate E=mc^2 calc</t>
        </is>
      </c>
    </row>
    <row r="6" ht="18" customHeight="1">
      <c r="A6" s="4" t="inlineStr">
        <is>
          <t>C_abs0</t>
        </is>
      </c>
      <c r="B6" s="4" t="inlineStr">
        <is>
          <t>absolute zero (thermodynamic)</t>
        </is>
      </c>
      <c r="C6" s="4" t="inlineStr">
        <is>
          <t>0 K</t>
        </is>
      </c>
      <c r="D6" s="5" t="n">
        <v>0</v>
      </c>
      <c r="E6" s="4" t="inlineStr">
        <is>
          <t>U_K</t>
        </is>
      </c>
      <c r="F6" s="4" t="inlineStr">
        <is>
          <t>Defined (scale anchor)</t>
        </is>
      </c>
      <c r="G6" s="4" t="inlineStr">
        <is>
          <t>https://www.bipm.org/documents/20126/41483022/SI-Brochure-9-concise-EN.pdf</t>
        </is>
      </c>
      <c r="H6" s="4">
        <f>VLOOKUP(E6,D_Units!$A$2:$G$9,5,FALSE)</f>
        <v/>
      </c>
      <c r="I6" s="4">
        <f>VLOOKUP(E6,D_Units!$A$2:$G$9,6,FALSE)</f>
        <v/>
      </c>
      <c r="J6" s="6">
        <f>D6*H6+I6</f>
        <v/>
      </c>
      <c r="K6" s="4" t="inlineStr">
        <is>
          <t>0 K is absolute zero on Kelvin scale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4" customWidth="1" min="4" max="4"/>
    <col width="18" customWidth="1" min="5" max="5"/>
    <col width="40" customWidth="1" min="6" max="6"/>
  </cols>
  <sheetData>
    <row r="1" ht="22" customHeight="1">
      <c r="A1" s="3" t="inlineStr">
        <is>
          <t>CalcID</t>
        </is>
      </c>
      <c r="B1" s="3" t="inlineStr">
        <is>
          <t>Name</t>
        </is>
      </c>
      <c r="C1" s="3" t="inlineStr">
        <is>
          <t>Expression</t>
        </is>
      </c>
      <c r="D1" s="3" t="inlineStr">
        <is>
          <t>Result_UnitID</t>
        </is>
      </c>
      <c r="E1" s="3" t="inlineStr">
        <is>
          <t>Result_SI</t>
        </is>
      </c>
      <c r="F1" s="3" t="inlineStr">
        <is>
          <t>Notes</t>
        </is>
      </c>
    </row>
    <row r="2" ht="18" customHeight="1">
      <c r="A2" s="4" t="inlineStr">
        <is>
          <t>F_Ecalc</t>
        </is>
      </c>
      <c r="B2" s="4" t="inlineStr">
        <is>
          <t>Electron rest energy from E=mc^2</t>
        </is>
      </c>
      <c r="C2" s="4" t="inlineStr">
        <is>
          <t>m_e * c^2</t>
        </is>
      </c>
      <c r="D2" s="4" t="inlineStr">
        <is>
          <t>U_J</t>
        </is>
      </c>
      <c r="E2" s="6">
        <f>VLOOKUP("C_me",D_Constants!$A$2:$J$6,10,FALSE)*(VLOOKUP("C_c",D_Constants!$A$2:$J$6,10,FALSE)^2)</f>
        <v/>
      </c>
      <c r="F2" s="4" t="inlineStr">
        <is>
          <t>Uses constants C_me and C_c</t>
        </is>
      </c>
    </row>
    <row r="3" ht="18" customHeight="1">
      <c r="A3" s="4" t="inlineStr">
        <is>
          <t>F_eV_to_J</t>
        </is>
      </c>
      <c r="B3" s="4" t="inlineStr">
        <is>
          <t>eV to J conversion</t>
        </is>
      </c>
      <c r="C3" s="4" t="inlineStr">
        <is>
          <t>e (since 1 V = 1 J/C, so eV = e·J)</t>
        </is>
      </c>
      <c r="D3" s="4" t="inlineStr">
        <is>
          <t>U_J</t>
        </is>
      </c>
      <c r="E3" s="6">
        <f>VLOOKUP("C_e",D_Constants!$A$2:$J$6,10,FALSE)</f>
        <v/>
      </c>
      <c r="F3" s="4" t="inlineStr">
        <is>
          <t>Checks constructed truth: conversion derives from defined constants</t>
        </is>
      </c>
    </row>
    <row r="4" ht="18" customHeight="1">
      <c r="A4" s="4" t="inlineStr">
        <is>
          <t>F_T_C_from_K</t>
        </is>
      </c>
      <c r="B4" s="4" t="inlineStr">
        <is>
          <t>Celsius from Kelvin</t>
        </is>
      </c>
      <c r="C4" s="4" t="inlineStr">
        <is>
          <t>t(°C)=T(K)-273.15</t>
        </is>
      </c>
      <c r="D4" s="4" t="inlineStr">
        <is>
          <t>U_C</t>
        </is>
      </c>
      <c r="E4" s="4" t="inlineStr"/>
      <c r="F4" s="4" t="inlineStr">
        <is>
          <t>Uses BIPM relationship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  <col width="10" customWidth="1" min="6" max="6"/>
    <col width="14" customWidth="1" min="7" max="7"/>
    <col width="16" customWidth="1" min="8" max="8"/>
    <col width="18" customWidth="1" min="9" max="9"/>
    <col width="40" customWidth="1" min="10" max="10"/>
  </cols>
  <sheetData>
    <row r="1" ht="22" customHeight="1">
      <c r="A1" s="3" t="inlineStr">
        <is>
          <t>InstanceID</t>
        </is>
      </c>
      <c r="B1" s="3" t="inlineStr">
        <is>
          <t>Scenario</t>
        </is>
      </c>
      <c r="C1" s="3" t="inlineStr">
        <is>
          <t>QuantityName</t>
        </is>
      </c>
      <c r="D1" s="3" t="inlineStr">
        <is>
          <t>QuantityKind</t>
        </is>
      </c>
      <c r="E1" s="3" t="inlineStr">
        <is>
          <t>Value</t>
        </is>
      </c>
      <c r="F1" s="3" t="inlineStr">
        <is>
          <t>UnitID</t>
        </is>
      </c>
      <c r="G1" s="3" t="inlineStr">
        <is>
          <t>Unit_ToSI_Mult</t>
        </is>
      </c>
      <c r="H1" s="3" t="inlineStr">
        <is>
          <t>Unit_ToSI_Offset</t>
        </is>
      </c>
      <c r="I1" s="3" t="inlineStr">
        <is>
          <t>Canonical_SI</t>
        </is>
      </c>
      <c r="J1" s="3" t="inlineStr">
        <is>
          <t>Notes</t>
        </is>
      </c>
    </row>
    <row r="2" ht="18" customHeight="1">
      <c r="A2" s="4" t="inlineStr">
        <is>
          <t>I_Ecalc_J</t>
        </is>
      </c>
      <c r="B2" s="4" t="inlineStr">
        <is>
          <t>ElectronRestEnergy</t>
        </is>
      </c>
      <c r="C2" s="4" t="inlineStr">
        <is>
          <t>E (calc)</t>
        </is>
      </c>
      <c r="D2" s="4" t="inlineStr">
        <is>
          <t>Energy</t>
        </is>
      </c>
      <c r="E2" s="6">
        <f>VLOOKUP("F_Ecalc",F_Calculations!$A$2:$E$4,5,FALSE)</f>
        <v/>
      </c>
      <c r="F2" s="4" t="inlineStr">
        <is>
          <t>U_J</t>
        </is>
      </c>
      <c r="G2" s="4">
        <f>VLOOKUP(F2,D_Units!$A$2:$G$9,5,FALSE)</f>
        <v/>
      </c>
      <c r="H2" s="4">
        <f>VLOOKUP(F2,D_Units!$A$2:$G$9,6,FALSE)</f>
        <v/>
      </c>
      <c r="I2" s="6">
        <f>E2*G2+H2</f>
        <v/>
      </c>
      <c r="J2" s="4" t="inlineStr">
        <is>
          <t>From F_Ecalc</t>
        </is>
      </c>
    </row>
    <row r="3" ht="18" customHeight="1">
      <c r="A3" s="4" t="inlineStr">
        <is>
          <t>I_Ecalc_eV</t>
        </is>
      </c>
      <c r="B3" s="4" t="inlineStr">
        <is>
          <t>ElectronRestEnergy</t>
        </is>
      </c>
      <c r="C3" s="4" t="inlineStr">
        <is>
          <t>E (calc)</t>
        </is>
      </c>
      <c r="D3" s="4" t="inlineStr">
        <is>
          <t>Energy</t>
        </is>
      </c>
      <c r="E3" s="6">
        <f>VLOOKUP("F_Ecalc",F_Calculations!$A$2:$E$4,5,FALSE)/VLOOKUP("F_eV_to_J",F_Calculations!$A$2:$E$4,5,FALSE)</f>
        <v/>
      </c>
      <c r="F3" s="4" t="inlineStr">
        <is>
          <t>U_eV</t>
        </is>
      </c>
      <c r="G3" s="4">
        <f>VLOOKUP(F3,D_Units!$A$2:$G$9,5,FALSE)</f>
        <v/>
      </c>
      <c r="H3" s="4">
        <f>VLOOKUP(F3,D_Units!$A$2:$G$9,6,FALSE)</f>
        <v/>
      </c>
      <c r="I3" s="6">
        <f>E3*G3+H3</f>
        <v/>
      </c>
      <c r="J3" s="4" t="inlineStr">
        <is>
          <t>Converted from SI</t>
        </is>
      </c>
    </row>
    <row r="4" ht="18" customHeight="1">
      <c r="A4" s="4" t="inlineStr">
        <is>
          <t>I_Ecalc_ftlbf</t>
        </is>
      </c>
      <c r="B4" s="4" t="inlineStr">
        <is>
          <t>ElectronRestEnergy</t>
        </is>
      </c>
      <c r="C4" s="4" t="inlineStr">
        <is>
          <t>E (calc)</t>
        </is>
      </c>
      <c r="D4" s="4" t="inlineStr">
        <is>
          <t>Energy</t>
        </is>
      </c>
      <c r="E4" s="6">
        <f>VLOOKUP("F_Ecalc",F_Calculations!$A$2:$E$4,5,FALSE)/VLOOKUP("U_ftlbf",D_Units!$A$2:$G$9,5,FALSE)</f>
        <v/>
      </c>
      <c r="F4" s="4" t="inlineStr">
        <is>
          <t>U_ftlbf</t>
        </is>
      </c>
      <c r="G4" s="4">
        <f>VLOOKUP(F4,D_Units!$A$2:$G$9,5,FALSE)</f>
        <v/>
      </c>
      <c r="H4" s="4">
        <f>VLOOKUP(F4,D_Units!$A$2:$G$9,6,FALSE)</f>
        <v/>
      </c>
      <c r="I4" s="6">
        <f>E4*G4+H4</f>
        <v/>
      </c>
      <c r="J4" s="4" t="inlineStr">
        <is>
          <t>Converted from SI</t>
        </is>
      </c>
    </row>
    <row r="5" ht="18" customHeight="1">
      <c r="A5" s="4" t="inlineStr">
        <is>
          <t>I_Eexpected_J</t>
        </is>
      </c>
      <c r="B5" s="4" t="inlineStr">
        <is>
          <t>ElectronRestEnergy</t>
        </is>
      </c>
      <c r="C5" s="4" t="inlineStr">
        <is>
          <t>E (CODATA)</t>
        </is>
      </c>
      <c r="D5" s="4" t="inlineStr">
        <is>
          <t>Energy</t>
        </is>
      </c>
      <c r="E5" s="6">
        <f>VLOOKUP("C_mec2",D_Constants!$A$2:$J$6,10,FALSE)</f>
        <v/>
      </c>
      <c r="F5" s="4" t="inlineStr">
        <is>
          <t>U_J</t>
        </is>
      </c>
      <c r="G5" s="4">
        <f>VLOOKUP(F5,D_Units!$A$2:$G$9,5,FALSE)</f>
        <v/>
      </c>
      <c r="H5" s="4">
        <f>VLOOKUP(F5,D_Units!$A$2:$G$9,6,FALSE)</f>
        <v/>
      </c>
      <c r="I5" s="6">
        <f>E5*G5+H5</f>
        <v/>
      </c>
      <c r="J5" s="4" t="inlineStr">
        <is>
          <t>Reference constant C_mec2</t>
        </is>
      </c>
    </row>
    <row r="6" ht="18" customHeight="1">
      <c r="A6" s="4" t="inlineStr">
        <is>
          <t>I_Tabs0_K</t>
        </is>
      </c>
      <c r="B6" s="4" t="inlineStr">
        <is>
          <t>AbsoluteZero</t>
        </is>
      </c>
      <c r="C6" s="4" t="inlineStr">
        <is>
          <t>T absolute</t>
        </is>
      </c>
      <c r="D6" s="4" t="inlineStr">
        <is>
          <t>Temperature</t>
        </is>
      </c>
      <c r="E6" s="6" t="n">
        <v>0</v>
      </c>
      <c r="F6" s="4" t="inlineStr">
        <is>
          <t>U_K</t>
        </is>
      </c>
      <c r="G6" s="4">
        <f>VLOOKUP(F6,D_Units!$A$2:$G$9,5,FALSE)</f>
        <v/>
      </c>
      <c r="H6" s="4">
        <f>VLOOKUP(F6,D_Units!$A$2:$G$9,6,FALSE)</f>
        <v/>
      </c>
      <c r="I6" s="6">
        <f>E6*G6+H6</f>
        <v/>
      </c>
      <c r="J6" s="4" t="inlineStr">
        <is>
          <t>0 Kelvin</t>
        </is>
      </c>
    </row>
    <row r="7" ht="18" customHeight="1">
      <c r="A7" s="4" t="inlineStr">
        <is>
          <t>I_Tabs0_C</t>
        </is>
      </c>
      <c r="B7" s="4" t="inlineStr">
        <is>
          <t>AbsoluteZero</t>
        </is>
      </c>
      <c r="C7" s="4" t="inlineStr">
        <is>
          <t>T absolute</t>
        </is>
      </c>
      <c r="D7" s="4" t="inlineStr">
        <is>
          <t>Temperature</t>
        </is>
      </c>
      <c r="E7" s="6">
        <f>E6-273.15</f>
        <v/>
      </c>
      <c r="F7" s="4" t="inlineStr">
        <is>
          <t>U_C</t>
        </is>
      </c>
      <c r="G7" s="4">
        <f>VLOOKUP(F7,D_Units!$A$2:$G$9,5,FALSE)</f>
        <v/>
      </c>
      <c r="H7" s="4">
        <f>VLOOKUP(F7,D_Units!$A$2:$G$9,6,FALSE)</f>
        <v/>
      </c>
      <c r="I7" s="6">
        <f>E7*G7+H7</f>
        <v/>
      </c>
      <c r="J7" s="4" t="inlineStr">
        <is>
          <t>Celsius representation of absolute 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2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28" customWidth="1" min="14" max="14"/>
  </cols>
  <sheetData>
    <row r="1" ht="22" customHeight="1">
      <c r="A1" s="3" t="inlineStr">
        <is>
          <t>ClaimID</t>
        </is>
      </c>
      <c r="B1" s="3" t="inlineStr">
        <is>
          <t>ClaimText</t>
        </is>
      </c>
      <c r="C1" s="3" t="inlineStr">
        <is>
          <t>ClaimType</t>
        </is>
      </c>
      <c r="D1" s="3" t="inlineStr">
        <is>
          <t>Criteria</t>
        </is>
      </c>
      <c r="E1" s="3" t="inlineStr">
        <is>
          <t>InstanceID_1</t>
        </is>
      </c>
      <c r="F1" s="3" t="inlineStr">
        <is>
          <t>InstanceID_2</t>
        </is>
      </c>
      <c r="G1" s="3" t="inlineStr">
        <is>
          <t>InstanceID_3</t>
        </is>
      </c>
      <c r="H1" s="3" t="inlineStr">
        <is>
          <t>ToleranceAbs_SI</t>
        </is>
      </c>
      <c r="I1" s="3" t="inlineStr">
        <is>
          <t>SI_1</t>
        </is>
      </c>
      <c r="J1" s="3" t="inlineStr">
        <is>
          <t>SI_2</t>
        </is>
      </c>
      <c r="K1" s="3" t="inlineStr">
        <is>
          <t>SI_3</t>
        </is>
      </c>
      <c r="L1" s="3" t="inlineStr">
        <is>
          <t>RangeAbs</t>
        </is>
      </c>
      <c r="M1" s="3" t="inlineStr">
        <is>
          <t>Pass</t>
        </is>
      </c>
      <c r="N1" s="3" t="inlineStr">
        <is>
          <t>TruthSource_Layer</t>
        </is>
      </c>
    </row>
    <row r="2" ht="18" customHeight="1">
      <c r="A2" s="4" t="inlineStr">
        <is>
          <t>CL1</t>
        </is>
      </c>
      <c r="B2" s="4" t="inlineStr">
        <is>
          <t>Electron rest energy is invariant across units (J, eV, ft-lbf).</t>
        </is>
      </c>
      <c r="C2" s="4" t="inlineStr">
        <is>
          <t>Reality-constrained invariant</t>
        </is>
      </c>
      <c r="D2" s="4" t="inlineStr">
        <is>
          <t>Max(SI)-Min(SI) &lt;= tolerance</t>
        </is>
      </c>
      <c r="E2" s="4" t="inlineStr">
        <is>
          <t>I_Ecalc_J</t>
        </is>
      </c>
      <c r="F2" s="4" t="inlineStr">
        <is>
          <t>I_Ecalc_eV</t>
        </is>
      </c>
      <c r="G2" s="4" t="inlineStr">
        <is>
          <t>I_Ecalc_ftlbf</t>
        </is>
      </c>
      <c r="H2" s="6" t="n">
        <v>1e-25</v>
      </c>
      <c r="I2" s="6">
        <f>IF(E2="","",VLOOKUP(E2,D_Instances!$A$2:$I$7,9,FALSE))</f>
        <v/>
      </c>
      <c r="J2" s="6">
        <f>IF(F2="","",VLOOKUP(F2,D_Instances!$A$2:$I$7,9,FALSE))</f>
        <v/>
      </c>
      <c r="K2" s="6">
        <f>IF(G2="","",VLOOKUP(G2,D_Instances!$A$2:$I$7,9,FALSE))</f>
        <v/>
      </c>
      <c r="L2" s="6">
        <f>IF(K2="",ABS(I2-J2),MAX(I2,J2,K2)-MIN(I2,J2,K2))</f>
        <v/>
      </c>
      <c r="M2" s="4">
        <f>L2&lt;=H2</f>
        <v/>
      </c>
      <c r="N2" s="4">
        <f>IF(LEFT(C2,11)="Constructed","Convention/Definition","Reality (constraint) + Convention (coordinates)")</f>
        <v/>
      </c>
    </row>
    <row r="3" ht="18" customHeight="1">
      <c r="A3" s="4" t="inlineStr">
        <is>
          <t>CL2</t>
        </is>
      </c>
      <c r="B3" s="4" t="inlineStr">
        <is>
          <t>E = m c^2 (using m_e and c) matches CODATA m_e c^2 within tolerance.</t>
        </is>
      </c>
      <c r="C3" s="4" t="inlineStr">
        <is>
          <t>Reality-constrained invariant</t>
        </is>
      </c>
      <c r="D3" s="4" t="inlineStr">
        <is>
          <t>Abs(SI_calc - SI_ref) &lt;= tolerance</t>
        </is>
      </c>
      <c r="E3" s="4" t="inlineStr">
        <is>
          <t>I_Ecalc_J</t>
        </is>
      </c>
      <c r="F3" s="4" t="inlineStr">
        <is>
          <t>I_Eexpected_J</t>
        </is>
      </c>
      <c r="G3" s="4" t="inlineStr"/>
      <c r="H3" s="6" t="n">
        <v>1e-22</v>
      </c>
      <c r="I3" s="6">
        <f>IF(E3="","",VLOOKUP(E3,D_Instances!$A$2:$I$7,9,FALSE))</f>
        <v/>
      </c>
      <c r="J3" s="6">
        <f>IF(F3="","",VLOOKUP(F3,D_Instances!$A$2:$I$7,9,FALSE))</f>
        <v/>
      </c>
      <c r="K3" s="6">
        <f>IF(G3="","",VLOOKUP(G3,D_Instances!$A$2:$I$7,9,FALSE))</f>
        <v/>
      </c>
      <c r="L3" s="6">
        <f>IF(K3="",ABS(I3-J3),MAX(I3,J3,K3)-MIN(I3,J3,K3))</f>
        <v/>
      </c>
      <c r="M3" s="4">
        <f>L3&lt;=H3</f>
        <v/>
      </c>
      <c r="N3" s="4">
        <f>IF(LEFT(C3,11)="Constructed","Convention/Definition","Reality (constraint) + Convention (coordinates)")</f>
        <v/>
      </c>
    </row>
    <row r="4" ht="18" customHeight="1">
      <c r="A4" s="4" t="inlineStr">
        <is>
          <t>CL3</t>
        </is>
      </c>
      <c r="B4" s="4" t="inlineStr">
        <is>
          <t>0 K and -273.15 °C represent the same absolute temperature.</t>
        </is>
      </c>
      <c r="C4" s="4" t="inlineStr">
        <is>
          <t>Mixed (scale + reality)</t>
        </is>
      </c>
      <c r="D4" s="4" t="inlineStr">
        <is>
          <t>Abs(SI_K - SI_C) &lt;= tolerance</t>
        </is>
      </c>
      <c r="E4" s="4" t="inlineStr">
        <is>
          <t>I_Tabs0_K</t>
        </is>
      </c>
      <c r="F4" s="4" t="inlineStr">
        <is>
          <t>I_Tabs0_C</t>
        </is>
      </c>
      <c r="G4" s="4" t="inlineStr"/>
      <c r="H4" s="6" t="n">
        <v>1e-09</v>
      </c>
      <c r="I4" s="6">
        <f>IF(E4="","",VLOOKUP(E4,D_Instances!$A$2:$I$7,9,FALSE))</f>
        <v/>
      </c>
      <c r="J4" s="6">
        <f>IF(F4="","",VLOOKUP(F4,D_Instances!$A$2:$I$7,9,FALSE))</f>
        <v/>
      </c>
      <c r="K4" s="6">
        <f>IF(G4="","",VLOOKUP(G4,D_Instances!$A$2:$I$7,9,FALSE))</f>
        <v/>
      </c>
      <c r="L4" s="6">
        <f>IF(K4="",ABS(I4-J4),MAX(I4,J4,K4)-MIN(I4,J4,K4))</f>
        <v/>
      </c>
      <c r="M4" s="4">
        <f>L4&lt;=H4</f>
        <v/>
      </c>
      <c r="N4" s="4">
        <f>IF(LEFT(C4,11)="Constructed","Convention/Definition","Reality (constraint) + Convention (coordinates)")</f>
        <v/>
      </c>
    </row>
    <row r="5" ht="18" customHeight="1">
      <c r="A5" s="4" t="inlineStr">
        <is>
          <t>CL4</t>
        </is>
      </c>
      <c r="B5" s="4" t="inlineStr">
        <is>
          <t>1 eV equals e joules (constructed via SI definition of e and volt).</t>
        </is>
      </c>
      <c r="C5" s="4" t="inlineStr">
        <is>
          <t>Constructed (definition/convention)</t>
        </is>
      </c>
      <c r="D5" s="4" t="inlineStr">
        <is>
          <t>Abs(eV_to_J - e) &lt;= tolerance</t>
        </is>
      </c>
      <c r="E5" s="4" t="inlineStr"/>
      <c r="F5" s="4" t="inlineStr"/>
      <c r="G5" s="4" t="inlineStr"/>
      <c r="H5" s="6" t="n">
        <v>0</v>
      </c>
      <c r="I5" s="6">
        <f>VLOOKUP("F_eV_to_J",F_Calculations!$A$2:$E$4,5,FALSE)</f>
        <v/>
      </c>
      <c r="J5" s="6">
        <f>VLOOKUP("C_e",D_Constants!$A$2:$J$6,10,FALSE)</f>
        <v/>
      </c>
      <c r="K5" s="6" t="inlineStr"/>
      <c r="L5" s="6">
        <f>ABS(I5-J5)</f>
        <v/>
      </c>
      <c r="M5" s="4">
        <f>L5&lt;=H5</f>
        <v/>
      </c>
      <c r="N5" s="4">
        <f>IF(LEFT(C5,11)="Constructed","Convention/Definition","Reality (constraint) + Convention (coordinates)")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8" customWidth="1" min="3" max="3"/>
    <col width="10" customWidth="1" min="4" max="4"/>
    <col width="55" customWidth="1" min="5" max="5"/>
  </cols>
  <sheetData>
    <row r="1" ht="22" customHeight="1">
      <c r="A1" s="3" t="inlineStr">
        <is>
          <t>QID</t>
        </is>
      </c>
      <c r="B1" s="3" t="inlineStr">
        <is>
          <t>Question</t>
        </is>
      </c>
      <c r="C1" s="3" t="inlineStr">
        <is>
          <t>Mapped_Claims</t>
        </is>
      </c>
      <c r="D1" s="3" t="inlineStr">
        <is>
          <t>Answer</t>
        </is>
      </c>
      <c r="E1" s="3" t="inlineStr">
        <is>
          <t>Explanation</t>
        </is>
      </c>
    </row>
    <row r="2" ht="18" customHeight="1">
      <c r="A2" s="4" t="inlineStr">
        <is>
          <t>Q0</t>
        </is>
      </c>
      <c r="B2" s="4" t="inlineStr">
        <is>
          <t>Are some truths in the model constructed (true because defined)?</t>
        </is>
      </c>
      <c r="C2" s="4" t="inlineStr">
        <is>
          <t>CL4</t>
        </is>
      </c>
      <c r="D2" s="4">
        <f>VLOOKUP("CL4",D_Claims!$A$2:$M$5,13,FALSE)</f>
        <v/>
      </c>
      <c r="E2" s="4" t="inlineStr">
        <is>
          <t>TRUE if the definitional/conventional check (CL4) passes.</t>
        </is>
      </c>
    </row>
    <row r="3" ht="18" customHeight="1">
      <c r="A3" s="4" t="inlineStr">
        <is>
          <t>Q1</t>
        </is>
      </c>
      <c r="B3" s="4" t="inlineStr">
        <is>
          <t>Are there consistent truths that don’t come from construction (i.e., unit-independent invariants)?</t>
        </is>
      </c>
      <c r="C3" s="4" t="inlineStr">
        <is>
          <t>CL1,CL2,CL3</t>
        </is>
      </c>
      <c r="D3" s="4">
        <f>OR(VLOOKUP("CL1",D_Claims!$A$2:$M$5,13,FALSE),VLOOKUP("CL2",D_Claims!$A$2:$M$5,13,FALSE),VLOOKUP("CL3",D_Claims!$A$2:$M$5,13,FALSE))</f>
        <v/>
      </c>
      <c r="E3" s="4" t="inlineStr">
        <is>
          <t>TRUE if at least one reality-constrained invariant claim passes.</t>
        </is>
      </c>
    </row>
    <row r="4" ht="18" customHeight="1">
      <c r="A4" s="4" t="inlineStr">
        <is>
          <t>Q2</t>
        </is>
      </c>
      <c r="B4" s="4" t="inlineStr">
        <is>
          <t>Does changing the measurement system (J vs ft-lbf vs eV) change the underlying electron rest energy?</t>
        </is>
      </c>
      <c r="C4" s="4" t="inlineStr">
        <is>
          <t>CL1</t>
        </is>
      </c>
      <c r="D4" s="4">
        <f>NOT(VLOOKUP("CL1",D_Claims!$A$2:$M$5,13,FALSE))</f>
        <v/>
      </c>
      <c r="E4" s="4" t="inlineStr">
        <is>
          <t>FALSE if CL1 passes (energy is invariant after conversion).</t>
        </is>
      </c>
    </row>
    <row r="5" ht="18" customHeight="1">
      <c r="A5" s="4" t="inlineStr">
        <is>
          <t>Q3</t>
        </is>
      </c>
      <c r="B5" s="4" t="inlineStr">
        <is>
          <t>Does E=mc^2 hold as long as appropriate conversions are done?</t>
        </is>
      </c>
      <c r="C5" s="4" t="inlineStr">
        <is>
          <t>CL2</t>
        </is>
      </c>
      <c r="D5" s="4">
        <f>VLOOKUP("CL2",D_Claims!$A$2:$M$5,13,FALSE)</f>
        <v/>
      </c>
      <c r="E5" s="4" t="inlineStr">
        <is>
          <t>TRUE if CL2 passes.</t>
        </is>
      </c>
    </row>
    <row r="6" ht="18" customHeight="1">
      <c r="A6" s="4" t="inlineStr">
        <is>
          <t>Q4</t>
        </is>
      </c>
      <c r="B6" s="4" t="inlineStr">
        <is>
          <t>Is 0 K the same temperature as −273.15 °C (after conversion)?</t>
        </is>
      </c>
      <c r="C6" s="4" t="inlineStr">
        <is>
          <t>CL3</t>
        </is>
      </c>
      <c r="D6" s="4">
        <f>VLOOKUP("CL3",D_Claims!$A$2:$M$5,13,FALSE)</f>
        <v/>
      </c>
      <c r="E6" s="4" t="inlineStr">
        <is>
          <t>TRUE if CL3 passes.</t>
        </is>
      </c>
    </row>
    <row r="7" ht="18" customHeight="1">
      <c r="A7" s="4" t="inlineStr">
        <is>
          <t>Q5</t>
        </is>
      </c>
      <c r="B7" s="4" t="inlineStr">
        <is>
          <t>Is 'reality' the constraining source of truth for invariants in this model?</t>
        </is>
      </c>
      <c r="C7" s="4" t="inlineStr">
        <is>
          <t>CL1,CL2,CL3</t>
        </is>
      </c>
      <c r="D7" s="4">
        <f>OR(VLOOKUP("CL1",D_Claims!$A$2:$M$5,13,FALSE),VLOOKUP("CL2",D_Claims!$A$2:$M$5,13,FALSE),VLOOKUP("CL3",D_Claims!$A$2:$M$5,13,FALSE))</f>
        <v/>
      </c>
      <c r="E7" s="4" t="inlineStr">
        <is>
          <t>TRUE if at least one invariant passes; conventions set coordinates (units), reality constrains what fits.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Dashboard</t>
        </is>
      </c>
    </row>
    <row r="3">
      <c r="A3" s="7" t="inlineStr">
        <is>
          <t>Key computed values (SI):</t>
        </is>
      </c>
    </row>
    <row r="4">
      <c r="A4" s="4" t="inlineStr">
        <is>
          <t>Electron rest energy (calc) [J]</t>
        </is>
      </c>
      <c r="B4" s="6">
        <f>VLOOKUP("F_Ecalc",F_Calculations!$A$2:$E$4,5,FALSE)</f>
        <v/>
      </c>
    </row>
    <row r="5">
      <c r="A5" s="4" t="inlineStr">
        <is>
          <t>Electron rest energy (CODATA) [J]</t>
        </is>
      </c>
      <c r="B5" s="6">
        <f>VLOOKUP("C_mec2",D_Constants!$A$2:$J$6,10,FALSE)</f>
        <v/>
      </c>
    </row>
    <row r="6">
      <c r="A6" s="4" t="inlineStr">
        <is>
          <t>Absolute zero [K]</t>
        </is>
      </c>
      <c r="B6" s="6">
        <f>VLOOKUP("C_abs0",D_Constants!$A$2:$J$6,10,FALSE)</f>
        <v/>
      </c>
    </row>
    <row r="7">
      <c r="A7" s="4" t="n"/>
      <c r="B7" s="4" t="n"/>
    </row>
    <row r="8">
      <c r="A8" s="8" t="inlineStr">
        <is>
          <t>Claims passing</t>
        </is>
      </c>
      <c r="B8" s="4">
        <f>COUNTIF(D_Claims!$M$2:$M$5,TRUE)</f>
        <v/>
      </c>
    </row>
    <row r="9">
      <c r="A9" s="4" t="inlineStr">
        <is>
          <t>Claims total</t>
        </is>
      </c>
      <c r="B9" s="4">
        <f>4</f>
        <v/>
      </c>
    </row>
    <row r="11">
      <c r="A11" s="7" t="inlineStr">
        <is>
          <t>Questions (TRUE/FALSE):</t>
        </is>
      </c>
    </row>
    <row r="12">
      <c r="A12" s="4">
        <f>D_Questions!B2</f>
        <v/>
      </c>
      <c r="B12" s="4">
        <f>D_Questions!D2</f>
        <v/>
      </c>
    </row>
    <row r="13">
      <c r="A13" s="4">
        <f>D_Questions!B3</f>
        <v/>
      </c>
      <c r="B13" s="4">
        <f>D_Questions!D3</f>
        <v/>
      </c>
    </row>
    <row r="14">
      <c r="A14" s="4">
        <f>D_Questions!B4</f>
        <v/>
      </c>
      <c r="B14" s="4">
        <f>D_Questions!D4</f>
        <v/>
      </c>
    </row>
    <row r="15">
      <c r="A15" s="4">
        <f>D_Questions!B5</f>
        <v/>
      </c>
      <c r="B15" s="4">
        <f>D_Questions!D5</f>
        <v/>
      </c>
    </row>
    <row r="16">
      <c r="A16" s="4">
        <f>D_Questions!B6</f>
        <v/>
      </c>
      <c r="B16" s="4">
        <f>D_Questions!D6</f>
        <v/>
      </c>
    </row>
    <row r="17">
      <c r="A17" s="4">
        <f>D_Questions!B7</f>
        <v/>
      </c>
      <c r="B17" s="4">
        <f>D_Questions!D7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2026-02-05T18:43:51Z</dcterms:created>
  <dcterms:modified xmlns:dcterms="http://purl.org/dc/terms/" xmlns:xsi="http://www.w3.org/2001/XMLSchema-instance" xsi:type="dcterms:W3CDTF">2026-02-05T18:43:51Z</dcterms:modified>
</cp:coreProperties>
</file>